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fill" sheetId="1" r:id="rId4"/>
    <sheet state="visible" name="Rate Table" sheetId="2" r:id="rId5"/>
    <sheet state="visible" name="Inputs" sheetId="3" r:id="rId6"/>
    <sheet state="visible" name="P&amp;L" sheetId="4" r:id="rId7"/>
    <sheet state="visible" name="Example" sheetId="5" r:id="rId8"/>
  </sheets>
  <definedNames>
    <definedName name="RateTable">'Rate Table'!$A$4:$B$23</definedName>
    <definedName name="RoleList">'Rate Table'!$A$4:$A$23</definedName>
  </definedNames>
  <calcPr/>
  <extLst>
    <ext uri="GoogleSheetsCustomDataVersion2">
      <go:sheetsCustomData xmlns:go="http://customooxmlschemas.google.com/" r:id="rId9" roundtripDataChecksum="E5N3lgrGqR/ZMSXCPOXUuIO+xGWb76BM4vy1G2t471c="/>
    </ext>
  </extLst>
</workbook>
</file>

<file path=xl/sharedStrings.xml><?xml version="1.0" encoding="utf-8"?>
<sst xmlns="http://schemas.openxmlformats.org/spreadsheetml/2006/main" count="217" uniqueCount="170">
  <si>
    <t>AI Initiative Impact Model  —  team workbook (all figures in INR)</t>
  </si>
  <si>
    <t>How this works</t>
  </si>
  <si>
    <t>Each team fills in ONE copy of this workbook for its initiative. You only touch the 'Inputs' tab and the coloured cells. The 'P&amp;L' tab then shows your initiative's financial impact automatically. The organizer collates every team's P&amp;L into a central leaderboard separately — your numbers are not shared with other teams.</t>
  </si>
  <si>
    <t>THE KEY ASSUMPTION — full deployment</t>
  </si>
  <si>
    <t>Assess impact as if your tool is FULLY DEPLOYED to every relevant resource in the company. If it is a design tool, assume the entire design team uses it; if it is a support tool, assume all support agents use it. Enter that full headcount in the Time-saved table. This keeps every team's impact measured on the same basis.</t>
  </si>
  <si>
    <t>Currency</t>
  </si>
  <si>
    <t>Everything is in Indian Rupees (₹). Hourly rates come from the central 'Rate Table' tab.</t>
  </si>
  <si>
    <t>Colour legend</t>
  </si>
  <si>
    <t>Blue = you type here (input).   Black = automatic formula (do not edit).   Green = pulled from the Rate Table.   Yellow = a cell the organizer sets.</t>
  </si>
  <si>
    <t>STRUCTURE OF THE COSTS</t>
  </si>
  <si>
    <t>Build – fixed (one-time)</t>
  </si>
  <si>
    <t>One-off costs to create the tool that do NOT scale with how many people use it: core development, design, architecture, one-off licences, security review.</t>
  </si>
  <si>
    <t>Build – variable (one-time)</t>
  </si>
  <si>
    <t>One-off costs that DO scale with deployment size: per-seat onboarding, data preparation per team, migration per user.</t>
  </si>
  <si>
    <t>Running – fixed (annual)</t>
  </si>
  <si>
    <t>Recurring yearly costs independent of usage volume: platform subscription, base infrastructure, fixed support retainer.</t>
  </si>
  <si>
    <t>Running – variable (annual)</t>
  </si>
  <si>
    <t>Recurring yearly costs that scale with usage or headcount: per-user licences, API / token / compute per use, usage-based support.</t>
  </si>
  <si>
    <t>THE TWO WAYS TO SHOW IMPACT</t>
  </si>
  <si>
    <t>1. Time saved → cost saved</t>
  </si>
  <si>
    <t>The tool removes hours of work. Annual hours saved = headcount × hours saved per person × frequency. Multiply by the loaded cost per hour to get the cost saved per year.</t>
  </si>
  <si>
    <t>2. Efficiency → higher revenue</t>
  </si>
  <si>
    <t>The tool lets the team produce more / convert better / free capacity, generating extra revenue at the same or lower cost. Enter the annual revenue uplift and its margin %; the model counts the margin (profit) as the benefit so it is comparable to costs. Never count the same benefit as both time saved AND revenue.</t>
  </si>
  <si>
    <t>Team size &amp; cost per hour</t>
  </si>
  <si>
    <t>Captured in the Time-saved table: each resource group has a full-deployment headcount and a loaded cost per hour (auto-filled from the Rate Table). This is the backbone of the cost-saving calculation.</t>
  </si>
  <si>
    <t>Working days per year</t>
  </si>
  <si>
    <t>Set once on the Inputs tab (default 240). Used to annualise any hours entered on a 'per Day' basis.</t>
  </si>
  <si>
    <t>HEADLINE METRICS (on the P&amp;L tab)</t>
  </si>
  <si>
    <t>Net annual impact</t>
  </si>
  <si>
    <t>Total annual benefit (cost saved + revenue margin) minus total annual running cost. The steady-state yearly gain.</t>
  </si>
  <si>
    <t>Year-1 ROI %</t>
  </si>
  <si>
    <t>(Total annual benefit − annual running cost − one-time build cost) ÷ (annual running cost + one-time build cost).</t>
  </si>
  <si>
    <t>Payback (months)</t>
  </si>
  <si>
    <t>Months for the net monthly benefit to repay the one-time build cost. Blank if net annual impact is not positive.</t>
  </si>
  <si>
    <t>Central Rate Table  —  fully-loaded hourly cost per role (INR)</t>
  </si>
  <si>
    <t>Organizer fills the yellow rates once with the org's fully-loaded hourly cost (salary + benefits + overhead) in INR. Teams pick a role from this list in the Time-saved table; the rate auto-fills.</t>
  </si>
  <si>
    <t>Role / Band</t>
  </si>
  <si>
    <t>Fully-loaded rate (₹/hr)</t>
  </si>
  <si>
    <t>Notes / basis</t>
  </si>
  <si>
    <t>Subject Head</t>
  </si>
  <si>
    <t>₹35,00,000 CTC ÷ 1,920 hrs (240 days × 8 hrs) = ₹1,823/hr</t>
  </si>
  <si>
    <t>Content Faculty</t>
  </si>
  <si>
    <t>₹15,00,000 CTC ÷ 1,920 hrs (240 days × 8 hrs) = ₹781/hr</t>
  </si>
  <si>
    <t>Project Coordinator</t>
  </si>
  <si>
    <t>₹8,00,000 CTC ÷ 1,920 hrs (240 days × 8 hrs) = ₹417/hr</t>
  </si>
  <si>
    <t>DTP</t>
  </si>
  <si>
    <t>₹5,00,000 CTC ÷ 1,920 hrs (240 days × 8 hrs) = ₹260/hr</t>
  </si>
  <si>
    <t>PLACEHOLDER — replace with your loaded rate</t>
  </si>
  <si>
    <t>Inputs  —  fill only the coloured cells.  All figures in INR.</t>
  </si>
  <si>
    <t>Assume FULL deployment: your tool is used by every relevant resource in the company. Enter that full headcount in the Time-saved section.</t>
  </si>
  <si>
    <t>1.  Initiative details</t>
  </si>
  <si>
    <t>Initiative / tool name</t>
  </si>
  <si>
    <t>AI based Question Bank</t>
  </si>
  <si>
    <t>Team</t>
  </si>
  <si>
    <t>Team 1</t>
  </si>
  <si>
    <t>Owner</t>
  </si>
  <si>
    <t>Lovee Mittal</t>
  </si>
  <si>
    <t>Short description</t>
  </si>
  <si>
    <t>Quick Test Creation with AI verification</t>
  </si>
  <si>
    <t>Confidence in inputs (High/Medium/Low)</t>
  </si>
  <si>
    <t>Medium</t>
  </si>
  <si>
    <t>Working days per year (assumption)</t>
  </si>
  <si>
    <t>2.  Build costs – FIXED (one-time)</t>
  </si>
  <si>
    <t>One-off costs to create the tool that do not scale with usage: core development, design, architecture, one-off licences, security review.</t>
  </si>
  <si>
    <t>Cost item</t>
  </si>
  <si>
    <t>Quantity</t>
  </si>
  <si>
    <t>Unit cost (₹)</t>
  </si>
  <si>
    <t>Amount (₹)</t>
  </si>
  <si>
    <t>Notes / assumption</t>
  </si>
  <si>
    <t xml:space="preserve">AI Tool - Claude Code </t>
  </si>
  <si>
    <t xml:space="preserve">AI Tool - ElevenLabs </t>
  </si>
  <si>
    <t>Employee time - Solution Design, Build &amp; QA</t>
  </si>
  <si>
    <t>Subtotal</t>
  </si>
  <si>
    <t>3.  Build costs – VARIABLE (one-time)</t>
  </si>
  <si>
    <t>One-off costs that scale with deployment size: per-seat onboarding, data prep per team, migration per user. Tip: set Quantity = full-deployment headcount.</t>
  </si>
  <si>
    <t>App Testing - AI Model APIs</t>
  </si>
  <si>
    <t>Per-seat onboarding/training (1 hr × 50 staff)</t>
  </si>
  <si>
    <t>One Time Cost of Training to use the App</t>
  </si>
  <si>
    <t>Initial content/data setup &amp; metadata tagging</t>
  </si>
  <si>
    <t xml:space="preserve">AI Model cost to tag questions in metadata </t>
  </si>
  <si>
    <t>4.  Running costs – FIXED (annual)</t>
  </si>
  <si>
    <t>Recurring yearly costs independent of usage: platform subscription, base infrastructure, fixed support retainer.</t>
  </si>
  <si>
    <t>AI Tool - Claude Code Subscription (Annual)</t>
  </si>
  <si>
    <t>AI Tool - ElevenLabs Subscription (Annual)</t>
  </si>
  <si>
    <t>Supabase Pro</t>
  </si>
  <si>
    <t>Postgress Database to store questions + Storage + Authentication</t>
  </si>
  <si>
    <t>Vercel Pro (Deployment)</t>
  </si>
  <si>
    <t>Hosting and Deployment of App on Cloud</t>
  </si>
  <si>
    <t>Wiris Mathtype Subscription</t>
  </si>
  <si>
    <t>5.  Running costs – VARIABLE (annual)</t>
  </si>
  <si>
    <t>Recurring yearly costs that scale with usage or headcount: per-user licences, API / token / compute, usage-based support.</t>
  </si>
  <si>
    <t>LLM API/token usage (3 level of QC + aggregator/ Question)</t>
  </si>
  <si>
    <t>API cost of 50 Lakhs questions to be Verified by AI, extra tokens as per need to validate/ QC</t>
  </si>
  <si>
    <t>AWS S3/Supabase Storage (per GB)</t>
  </si>
  <si>
    <t>Store question/solution figures in database</t>
  </si>
  <si>
    <t>SME employee time — manual QC of AI-flagged questions</t>
  </si>
  <si>
    <t>30 SMEs × 1,920 hrs/yr = 57,600 hrs; ₹8L CTC ÷ 1,920 hrs = ₹417/hr; covers AI-flagged 20% of 50L questions @ 5 min/question</t>
  </si>
  <si>
    <t>6.  Impact A – TIME SAVED → cost saved</t>
  </si>
  <si>
    <t>Enter each resource group at FULL deployment. Annual hours saved = headcount × hours per person × frequency (Day uses working-days/yr, Week×48, Month×12, Year×1). Cost/hr auto-fills from the Rate Table.</t>
  </si>
  <si>
    <t>Role / resource group</t>
  </si>
  <si>
    <t>Headcount (full deploy)</t>
  </si>
  <si>
    <t>Hours saved / person</t>
  </si>
  <si>
    <t>Period</t>
  </si>
  <si>
    <t>Annual hours saved</t>
  </si>
  <si>
    <t>Cost per hour (₹)</t>
  </si>
  <si>
    <t>Annual cost saved (₹)</t>
  </si>
  <si>
    <t>Notes</t>
  </si>
  <si>
    <t>Day</t>
  </si>
  <si>
    <t>Manual QC: 3 hrs/test → AI-assisted QC: 30 min/test (AI flags ~80% of questions; human reviews remaining 20% only)</t>
  </si>
  <si>
    <t>Manual video solution recording: 1 day (8 hrs)/100 Questions → AI-generated: 30 min/100 Questions</t>
  </si>
  <si>
    <t>Manual typing: 6 hrs/test → Bulk extraction (PDF/Word): 2 min/test</t>
  </si>
  <si>
    <t>7.  Impact B – EFFICIENCY → higher revenue</t>
  </si>
  <si>
    <t>For impact that shows up as extra revenue (more output, better conversion, freed capacity sold) rather than hours saved. Enter annual revenue uplift and its margin %; the model counts the MARGIN as the benefit. Do not double-count anything already captured as time saved.</t>
  </si>
  <si>
    <t>Efficiency / revenue driver</t>
  </si>
  <si>
    <t>Quantity / basis</t>
  </si>
  <si>
    <t>Unit value (₹)</t>
  </si>
  <si>
    <t>Annual revenue uplift (₹)</t>
  </si>
  <si>
    <t>Margin %</t>
  </si>
  <si>
    <t>Annual margin contribution (₹)</t>
  </si>
  <si>
    <t>SaaS licensing — AI question paper QC platform sold to external coaching institutes</t>
  </si>
  <si>
    <t>1,000 coaching institutes × 50 papers/yr × ₹500/paper; 80% margin after API, hosting &amp; support costs</t>
  </si>
  <si>
    <t>Impact P&amp;L  —  annual, at full deployment (INR)</t>
  </si>
  <si>
    <t>All figures pull automatically from the Inputs tab. Annual figures assume the tool is fully deployed to all relevant resources. The organizer collates this P&amp;L across teams.</t>
  </si>
  <si>
    <t>ANNUAL BENEFIT (at full deployment)</t>
  </si>
  <si>
    <t xml:space="preserve">    Cost saved – time saved</t>
  </si>
  <si>
    <t xml:space="preserve">    Margin contribution – efficiency / revenue</t>
  </si>
  <si>
    <t>Total annual benefit</t>
  </si>
  <si>
    <t>ANNUAL RUNNING COST</t>
  </si>
  <si>
    <t xml:space="preserve">    Running – fixed</t>
  </si>
  <si>
    <t xml:space="preserve">    Running – variable</t>
  </si>
  <si>
    <t>Total annual running cost</t>
  </si>
  <si>
    <t>ONE-TIME BUILD INVESTMENT</t>
  </si>
  <si>
    <t xml:space="preserve">    Build – fixed</t>
  </si>
  <si>
    <t xml:space="preserve">    Build – variable</t>
  </si>
  <si>
    <t>Total one-time build cost</t>
  </si>
  <si>
    <t>IMPACT METRICS</t>
  </si>
  <si>
    <t>Net annual impact (benefit − running cost)</t>
  </si>
  <si>
    <t>Year-1 net impact (benefit − running − build)</t>
  </si>
  <si>
    <t>Steady-state annual ROI %</t>
  </si>
  <si>
    <t>Payback period (months)</t>
  </si>
  <si>
    <t>Headcount impacted (full deployment)</t>
  </si>
  <si>
    <t>3-YEAR VIEW (INR)</t>
  </si>
  <si>
    <t>Year 0</t>
  </si>
  <si>
    <t>Year 1</t>
  </si>
  <si>
    <t>Year 2</t>
  </si>
  <si>
    <t>Year 3</t>
  </si>
  <si>
    <t>Build cost</t>
  </si>
  <si>
    <t>0</t>
  </si>
  <si>
    <t>Running cost</t>
  </si>
  <si>
    <t>Benefit</t>
  </si>
  <si>
    <t>Net cash flow</t>
  </si>
  <si>
    <t>Cumulative net</t>
  </si>
  <si>
    <t>Worked Example (read-only) — design-team AI tool, full deployment</t>
  </si>
  <si>
    <t>Illustrative only. A design-assist tool deployed to the whole 20-person design team. Numbers are made up. Shows how the sections flow into the headline metrics.</t>
  </si>
  <si>
    <t>INPUT — scope</t>
  </si>
  <si>
    <t>Design team size (full deployment)</t>
  </si>
  <si>
    <t>Loaded cost per hour – Designer (₹/hr)</t>
  </si>
  <si>
    <t>Hours saved per designer per week</t>
  </si>
  <si>
    <t>Working weeks per year</t>
  </si>
  <si>
    <t>INPUT — costs</t>
  </si>
  <si>
    <t>INPUT — efficiency / revenue</t>
  </si>
  <si>
    <t>Annual revenue uplift</t>
  </si>
  <si>
    <t>CALCULATED</t>
  </si>
  <si>
    <t>Annual hours saved (20 × 5 × 48)</t>
  </si>
  <si>
    <t>Cost saved – time (₹)</t>
  </si>
  <si>
    <t>Margin contribution – revenue (₹)</t>
  </si>
  <si>
    <t>Total annual benefit (₹)</t>
  </si>
  <si>
    <t>Total annual running cost (₹)</t>
  </si>
  <si>
    <t>Total one-time build cost (₹)</t>
  </si>
  <si>
    <t>Net annual impact (₹)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</si>
</sst>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₹#,##0;&quot;(₹&quot;#,##0\);\-"/>
    <numFmt numFmtId="165" formatCode="#,##0;;\-"/>
    <numFmt numFmtId="166" formatCode="\₹#,##0.00;&quot;(₹&quot;#,##0.00\);\-"/>
    <numFmt numFmtId="167" formatCode="#,##0.0;;\-"/>
    <numFmt numFmtId="168" formatCode="0.0%;\(0.0%\);\-"/>
    <numFmt numFmtId="169" formatCode="0.0;;\-"/>
    <numFmt numFmtId="170" formatCode="0.0"/>
  </numFmts>
  <fonts count="23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b/>
      <sz val="10.0"/>
      <color rgb="FF1F4E78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sz val="11.0"/>
      <color rgb="FF1F4E78"/>
      <name val="Arial"/>
    </font>
    <font>
      <b/>
      <sz val="12.0"/>
      <color rgb="FFFFFFFF"/>
      <name val="Arial"/>
    </font>
    <font>
      <i/>
      <sz val="9.0"/>
      <color rgb="FF555555"/>
      <name val="Arial"/>
    </font>
    <font>
      <b/>
      <sz val="11.0"/>
      <color rgb="FFFFFFFF"/>
      <name val="Arial"/>
    </font>
    <font>
      <sz val="11.0"/>
      <color rgb="FF0000FF"/>
      <name val="Arial"/>
    </font>
    <font>
      <b/>
      <sz val="11.0"/>
      <color rgb="FF0000FF"/>
      <name val="Arial"/>
    </font>
    <font>
      <b/>
      <sz val="10.0"/>
      <color theme="1"/>
      <name val="Arial"/>
    </font>
    <font>
      <b/>
      <sz val="9.0"/>
      <color rgb="FFFFFFFF"/>
      <name val="Arial"/>
    </font>
    <font>
      <sz val="9.0"/>
      <color rgb="FF0000FF"/>
      <name val="Arial"/>
    </font>
    <font>
      <sz val="9.0"/>
      <color rgb="FF000000"/>
      <name val="Arial"/>
    </font>
    <font>
      <b/>
      <sz val="11.0"/>
      <color rgb="FF000000"/>
      <name val="Arial"/>
    </font>
    <font>
      <sz val="9.0"/>
      <color rgb="FF008000"/>
      <name val="Arial"/>
    </font>
    <font>
      <b/>
      <sz val="11.0"/>
      <color theme="1"/>
      <name val="Arial"/>
    </font>
    <font>
      <sz val="10.0"/>
      <color rgb="FF000000"/>
      <name val="Arial"/>
    </font>
    <font>
      <b/>
      <sz val="10.0"/>
      <color rgb="FFFFFFFF"/>
      <name val="Arial"/>
    </font>
    <font>
      <sz val="10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F00"/>
        <bgColor rgb="FFFFFF00"/>
      </patternFill>
    </fill>
    <fill>
      <patternFill patternType="solid">
        <fgColor rgb="FFFFF7E6"/>
        <bgColor rgb="FFFFF7E6"/>
      </patternFill>
    </fill>
    <fill>
      <patternFill patternType="solid">
        <fgColor rgb="FF2E75B6"/>
        <bgColor rgb="FF2E75B6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</fills>
  <borders count="1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3" numFmtId="0" xfId="0" applyBorder="1" applyFont="1"/>
    <xf borderId="3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3" fillId="0" fontId="7" numFmtId="0" xfId="0" applyAlignment="1" applyBorder="1" applyFont="1">
      <alignment shrinkToFit="0" vertical="top" wrapText="1"/>
    </xf>
    <xf borderId="4" fillId="2" fontId="8" numFmtId="0" xfId="0" applyAlignment="1" applyBorder="1" applyFont="1">
      <alignment horizontal="left" vertical="center"/>
    </xf>
    <xf borderId="5" fillId="0" fontId="2" numFmtId="0" xfId="0" applyBorder="1" applyFont="1"/>
    <xf borderId="6" fillId="0" fontId="2" numFmtId="0" xfId="0" applyBorder="1" applyFont="1"/>
    <xf borderId="0" fillId="0" fontId="9" numFmtId="0" xfId="0" applyAlignment="1" applyFont="1">
      <alignment shrinkToFit="0" vertical="top" wrapText="1"/>
    </xf>
    <xf borderId="7" fillId="2" fontId="10" numFmtId="0" xfId="0" applyAlignment="1" applyBorder="1" applyFont="1">
      <alignment horizontal="center" shrinkToFit="0" vertical="center" wrapText="1"/>
    </xf>
    <xf borderId="7" fillId="0" fontId="11" numFmtId="0" xfId="0" applyAlignment="1" applyBorder="1" applyFont="1">
      <alignment readingOrder="0"/>
    </xf>
    <xf borderId="7" fillId="3" fontId="12" numFmtId="164" xfId="0" applyAlignment="1" applyBorder="1" applyFill="1" applyFont="1" applyNumberFormat="1">
      <alignment readingOrder="0"/>
    </xf>
    <xf borderId="7" fillId="0" fontId="9" numFmtId="0" xfId="0" applyAlignment="1" applyBorder="1" applyFont="1">
      <alignment readingOrder="0"/>
    </xf>
    <xf borderId="7" fillId="0" fontId="9" numFmtId="0" xfId="0" applyBorder="1" applyFont="1"/>
    <xf borderId="7" fillId="0" fontId="11" numFmtId="0" xfId="0" applyBorder="1" applyFont="1"/>
    <xf borderId="7" fillId="3" fontId="12" numFmtId="164" xfId="0" applyBorder="1" applyFont="1" applyNumberFormat="1"/>
    <xf borderId="4" fillId="2" fontId="1" numFmtId="0" xfId="0" applyAlignment="1" applyBorder="1" applyFont="1">
      <alignment horizontal="left" vertical="center"/>
    </xf>
    <xf borderId="4" fillId="2" fontId="10" numFmtId="0" xfId="0" applyAlignment="1" applyBorder="1" applyFont="1">
      <alignment horizontal="left" vertical="center"/>
    </xf>
    <xf borderId="0" fillId="0" fontId="13" numFmtId="0" xfId="0" applyAlignment="1" applyFont="1">
      <alignment vertical="center"/>
    </xf>
    <xf borderId="8" fillId="4" fontId="11" numFmtId="0" xfId="0" applyAlignment="1" applyBorder="1" applyFill="1" applyFont="1">
      <alignment horizontal="left" readingOrder="0"/>
    </xf>
    <xf borderId="9" fillId="0" fontId="2" numFmtId="0" xfId="0" applyBorder="1" applyFont="1"/>
    <xf borderId="10" fillId="0" fontId="2" numFmtId="0" xfId="0" applyBorder="1" applyFont="1"/>
    <xf borderId="8" fillId="4" fontId="11" numFmtId="165" xfId="0" applyAlignment="1" applyBorder="1" applyFont="1" applyNumberFormat="1">
      <alignment horizontal="left"/>
    </xf>
    <xf borderId="7" fillId="5" fontId="14" numFmtId="0" xfId="0" applyAlignment="1" applyBorder="1" applyFill="1" applyFont="1">
      <alignment horizontal="center" shrinkToFit="0" vertical="center" wrapText="1"/>
    </xf>
    <xf borderId="8" fillId="5" fontId="1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7" fillId="4" fontId="15" numFmtId="0" xfId="0" applyAlignment="1" applyBorder="1" applyFont="1">
      <alignment readingOrder="0"/>
    </xf>
    <xf borderId="7" fillId="4" fontId="15" numFmtId="165" xfId="0" applyAlignment="1" applyBorder="1" applyFont="1" applyNumberFormat="1">
      <alignment readingOrder="0"/>
    </xf>
    <xf borderId="7" fillId="4" fontId="15" numFmtId="164" xfId="0" applyAlignment="1" applyBorder="1" applyFont="1" applyNumberFormat="1">
      <alignment readingOrder="0"/>
    </xf>
    <xf borderId="7" fillId="6" fontId="16" numFmtId="164" xfId="0" applyBorder="1" applyFill="1" applyFont="1" applyNumberFormat="1"/>
    <xf borderId="8" fillId="4" fontId="15" numFmtId="0" xfId="0" applyAlignment="1" applyBorder="1" applyFont="1">
      <alignment shrinkToFit="0" vertical="top" wrapText="1"/>
    </xf>
    <xf borderId="7" fillId="4" fontId="15" numFmtId="0" xfId="0" applyBorder="1" applyFont="1"/>
    <xf borderId="7" fillId="4" fontId="15" numFmtId="165" xfId="0" applyBorder="1" applyFont="1" applyNumberFormat="1"/>
    <xf borderId="7" fillId="4" fontId="15" numFmtId="164" xfId="0" applyBorder="1" applyFont="1" applyNumberFormat="1"/>
    <xf borderId="7" fillId="0" fontId="13" numFmtId="0" xfId="0" applyBorder="1" applyFont="1"/>
    <xf borderId="7" fillId="7" fontId="3" numFmtId="0" xfId="0" applyBorder="1" applyFill="1" applyFont="1"/>
    <xf borderId="7" fillId="7" fontId="17" numFmtId="164" xfId="0" applyBorder="1" applyFont="1" applyNumberFormat="1"/>
    <xf borderId="8" fillId="4" fontId="15" numFmtId="0" xfId="0" applyAlignment="1" applyBorder="1" applyFont="1">
      <alignment readingOrder="0" shrinkToFit="0" vertical="top" wrapText="1"/>
    </xf>
    <xf borderId="7" fillId="4" fontId="15" numFmtId="166" xfId="0" applyAlignment="1" applyBorder="1" applyFont="1" applyNumberFormat="1">
      <alignment readingOrder="0"/>
    </xf>
    <xf borderId="7" fillId="4" fontId="15" numFmtId="0" xfId="0" applyAlignment="1" applyBorder="1" applyFont="1">
      <alignment readingOrder="0" shrinkToFit="0" wrapText="1"/>
    </xf>
    <xf borderId="7" fillId="4" fontId="15" numFmtId="167" xfId="0" applyAlignment="1" applyBorder="1" applyFont="1" applyNumberFormat="1">
      <alignment readingOrder="0"/>
    </xf>
    <xf borderId="7" fillId="6" fontId="16" numFmtId="167" xfId="0" applyBorder="1" applyFont="1" applyNumberFormat="1"/>
    <xf borderId="7" fillId="6" fontId="18" numFmtId="164" xfId="0" applyBorder="1" applyFont="1" applyNumberFormat="1"/>
    <xf borderId="7" fillId="4" fontId="15" numFmtId="0" xfId="0" applyAlignment="1" applyBorder="1" applyFont="1">
      <alignment readingOrder="0" shrinkToFit="0" vertical="top" wrapText="1"/>
    </xf>
    <xf borderId="7" fillId="4" fontId="15" numFmtId="0" xfId="0" applyAlignment="1" applyBorder="1" applyFont="1">
      <alignment shrinkToFit="0" vertical="top" wrapText="1"/>
    </xf>
    <xf borderId="7" fillId="4" fontId="15" numFmtId="167" xfId="0" applyBorder="1" applyFont="1" applyNumberFormat="1"/>
    <xf borderId="7" fillId="7" fontId="19" numFmtId="165" xfId="0" applyBorder="1" applyFont="1" applyNumberFormat="1"/>
    <xf borderId="7" fillId="7" fontId="19" numFmtId="167" xfId="0" applyBorder="1" applyFont="1" applyNumberFormat="1"/>
    <xf borderId="7" fillId="7" fontId="19" numFmtId="164" xfId="0" applyBorder="1" applyFont="1" applyNumberFormat="1"/>
    <xf borderId="7" fillId="4" fontId="15" numFmtId="165" xfId="0" applyAlignment="1" applyBorder="1" applyFont="1" applyNumberFormat="1">
      <alignment readingOrder="0" shrinkToFit="0" wrapText="1"/>
    </xf>
    <xf borderId="7" fillId="4" fontId="15" numFmtId="9" xfId="0" applyAlignment="1" applyBorder="1" applyFont="1" applyNumberFormat="1">
      <alignment readingOrder="0"/>
    </xf>
    <xf borderId="7" fillId="4" fontId="15" numFmtId="168" xfId="0" applyBorder="1" applyFont="1" applyNumberFormat="1"/>
    <xf borderId="12" fillId="5" fontId="10" numFmtId="0" xfId="0" applyBorder="1" applyFont="1"/>
    <xf borderId="12" fillId="5" fontId="3" numFmtId="0" xfId="0" applyBorder="1" applyFont="1"/>
    <xf borderId="0" fillId="0" fontId="20" numFmtId="0" xfId="0" applyFont="1"/>
    <xf borderId="0" fillId="0" fontId="20" numFmtId="164" xfId="0" applyAlignment="1" applyFont="1" applyNumberFormat="1">
      <alignment horizontal="right"/>
    </xf>
    <xf borderId="12" fillId="7" fontId="7" numFmtId="0" xfId="0" applyBorder="1" applyFont="1"/>
    <xf borderId="12" fillId="7" fontId="3" numFmtId="0" xfId="0" applyBorder="1" applyFont="1"/>
    <xf borderId="12" fillId="7" fontId="17" numFmtId="164" xfId="0" applyAlignment="1" applyBorder="1" applyFont="1" applyNumberFormat="1">
      <alignment horizontal="right"/>
    </xf>
    <xf borderId="0" fillId="0" fontId="7" numFmtId="0" xfId="0" applyFont="1"/>
    <xf borderId="0" fillId="0" fontId="17" numFmtId="164" xfId="0" applyAlignment="1" applyFont="1" applyNumberFormat="1">
      <alignment horizontal="right"/>
    </xf>
    <xf borderId="0" fillId="0" fontId="17" numFmtId="168" xfId="0" applyAlignment="1" applyFont="1" applyNumberFormat="1">
      <alignment horizontal="right"/>
    </xf>
    <xf borderId="0" fillId="0" fontId="20" numFmtId="168" xfId="0" applyAlignment="1" applyFont="1" applyNumberFormat="1">
      <alignment horizontal="right"/>
    </xf>
    <xf borderId="0" fillId="0" fontId="20" numFmtId="169" xfId="0" applyAlignment="1" applyFont="1" applyNumberFormat="1">
      <alignment horizontal="right"/>
    </xf>
    <xf borderId="0" fillId="0" fontId="20" numFmtId="167" xfId="0" applyAlignment="1" applyFont="1" applyNumberFormat="1">
      <alignment horizontal="right"/>
    </xf>
    <xf borderId="0" fillId="0" fontId="20" numFmtId="165" xfId="0" applyAlignment="1" applyFont="1" applyNumberFormat="1">
      <alignment horizontal="right"/>
    </xf>
    <xf borderId="7" fillId="2" fontId="10" numFmtId="0" xfId="0" applyAlignment="1" applyBorder="1" applyFont="1">
      <alignment horizontal="center"/>
    </xf>
    <xf borderId="7" fillId="0" fontId="5" numFmtId="0" xfId="0" applyBorder="1" applyFont="1"/>
    <xf borderId="7" fillId="0" fontId="5" numFmtId="164" xfId="0" applyAlignment="1" applyBorder="1" applyFont="1" applyNumberFormat="1">
      <alignment horizontal="right"/>
    </xf>
    <xf borderId="7" fillId="7" fontId="13" numFmtId="0" xfId="0" applyBorder="1" applyFont="1"/>
    <xf borderId="7" fillId="7" fontId="13" numFmtId="164" xfId="0" applyAlignment="1" applyBorder="1" applyFont="1" applyNumberFormat="1">
      <alignment horizontal="right"/>
    </xf>
    <xf borderId="4" fillId="5" fontId="21" numFmtId="0" xfId="0" applyBorder="1" applyFont="1"/>
    <xf borderId="7" fillId="0" fontId="5" numFmtId="0" xfId="0" applyAlignment="1" applyBorder="1" applyFont="1">
      <alignment shrinkToFit="0" vertical="top" wrapText="1"/>
    </xf>
    <xf borderId="7" fillId="4" fontId="22" numFmtId="165" xfId="0" applyAlignment="1" applyBorder="1" applyFont="1" applyNumberFormat="1">
      <alignment horizontal="right"/>
    </xf>
    <xf borderId="7" fillId="4" fontId="22" numFmtId="164" xfId="0" applyAlignment="1" applyBorder="1" applyFont="1" applyNumberFormat="1">
      <alignment horizontal="right"/>
    </xf>
    <xf borderId="7" fillId="4" fontId="22" numFmtId="167" xfId="0" applyAlignment="1" applyBorder="1" applyFont="1" applyNumberFormat="1">
      <alignment horizontal="right"/>
    </xf>
    <xf borderId="7" fillId="4" fontId="22" numFmtId="168" xfId="0" applyAlignment="1" applyBorder="1" applyFont="1" applyNumberFormat="1">
      <alignment horizontal="right"/>
    </xf>
    <xf borderId="7" fillId="0" fontId="13" numFmtId="0" xfId="0" applyAlignment="1" applyBorder="1" applyFont="1">
      <alignment shrinkToFit="0" vertical="top" wrapText="1"/>
    </xf>
    <xf borderId="7" fillId="6" fontId="6" numFmtId="167" xfId="0" applyAlignment="1" applyBorder="1" applyFont="1" applyNumberFormat="1">
      <alignment horizontal="right"/>
    </xf>
    <xf borderId="7" fillId="6" fontId="6" numFmtId="164" xfId="0" applyAlignment="1" applyBorder="1" applyFont="1" applyNumberFormat="1">
      <alignment horizontal="right"/>
    </xf>
    <xf borderId="7" fillId="6" fontId="6" numFmtId="168" xfId="0" applyAlignment="1" applyBorder="1" applyFont="1" applyNumberFormat="1">
      <alignment horizontal="right"/>
    </xf>
    <xf borderId="7" fillId="6" fontId="6" numFmtId="170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Cumulative net impact (INR)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 w="9525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'P&amp;L'!$B$29:$E$29</c:f>
            </c:strRef>
          </c:cat>
          <c:val>
            <c:numRef>
              <c:f>'P&amp;L'!$B$34:$E$34</c:f>
              <c:numCache/>
            </c:numRef>
          </c:val>
          <c:smooth val="1"/>
        </c:ser>
        <c:axId val="646652993"/>
        <c:axId val="996176672"/>
      </c:lineChart>
      <c:catAx>
        <c:axId val="6466529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6176672"/>
      </c:catAx>
      <c:valAx>
        <c:axId val="99617667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646652993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35</xdr:row>
      <xdr:rowOff>0</xdr:rowOff>
    </xdr:from>
    <xdr:ext cx="5467350" cy="2390775"/>
    <xdr:graphicFrame>
      <xdr:nvGraphicFramePr>
        <xdr:cNvPr id="917231774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4.0"/>
    <col customWidth="1" min="2" max="2" width="100.0"/>
    <col customWidth="1" min="3" max="26" width="8.71"/>
  </cols>
  <sheetData>
    <row r="1" ht="21.75" customHeight="1">
      <c r="A1" s="1" t="s">
        <v>0</v>
      </c>
      <c r="B1" s="2"/>
    </row>
    <row r="2" ht="14.25" customHeight="1">
      <c r="A2" s="3"/>
      <c r="B2" s="3"/>
    </row>
    <row r="3" ht="14.25" customHeight="1">
      <c r="A3" s="4" t="s">
        <v>1</v>
      </c>
      <c r="B3" s="5" t="s">
        <v>2</v>
      </c>
    </row>
    <row r="4" ht="14.25" customHeight="1">
      <c r="A4" s="4" t="s">
        <v>3</v>
      </c>
      <c r="B4" s="5" t="s">
        <v>4</v>
      </c>
    </row>
    <row r="5" ht="14.25" customHeight="1">
      <c r="A5" s="4" t="s">
        <v>5</v>
      </c>
      <c r="B5" s="5" t="s">
        <v>6</v>
      </c>
    </row>
    <row r="6" ht="14.25" customHeight="1">
      <c r="A6" s="4" t="s">
        <v>7</v>
      </c>
      <c r="B6" s="5" t="s">
        <v>8</v>
      </c>
    </row>
    <row r="7" ht="14.25" customHeight="1">
      <c r="A7" s="6"/>
      <c r="B7" s="5"/>
    </row>
    <row r="8" ht="14.25" customHeight="1">
      <c r="A8" s="7" t="s">
        <v>9</v>
      </c>
      <c r="B8" s="5"/>
    </row>
    <row r="9" ht="14.25" customHeight="1">
      <c r="A9" s="6" t="s">
        <v>10</v>
      </c>
      <c r="B9" s="5" t="s">
        <v>11</v>
      </c>
    </row>
    <row r="10" ht="14.25" customHeight="1">
      <c r="A10" s="6" t="s">
        <v>12</v>
      </c>
      <c r="B10" s="5" t="s">
        <v>13</v>
      </c>
    </row>
    <row r="11" ht="14.25" customHeight="1">
      <c r="A11" s="6" t="s">
        <v>14</v>
      </c>
      <c r="B11" s="5" t="s">
        <v>15</v>
      </c>
    </row>
    <row r="12" ht="14.25" customHeight="1">
      <c r="A12" s="6" t="s">
        <v>16</v>
      </c>
      <c r="B12" s="5" t="s">
        <v>17</v>
      </c>
    </row>
    <row r="13" ht="14.25" customHeight="1">
      <c r="A13" s="6"/>
      <c r="B13" s="5"/>
    </row>
    <row r="14" ht="14.25" customHeight="1">
      <c r="A14" s="7" t="s">
        <v>18</v>
      </c>
      <c r="B14" s="5"/>
    </row>
    <row r="15" ht="14.25" customHeight="1">
      <c r="A15" s="6" t="s">
        <v>19</v>
      </c>
      <c r="B15" s="5" t="s">
        <v>20</v>
      </c>
    </row>
    <row r="16" ht="14.25" customHeight="1">
      <c r="A16" s="6" t="s">
        <v>21</v>
      </c>
      <c r="B16" s="5" t="s">
        <v>22</v>
      </c>
    </row>
    <row r="17" ht="14.25" customHeight="1">
      <c r="A17" s="6"/>
      <c r="B17" s="5"/>
    </row>
    <row r="18" ht="14.25" customHeight="1">
      <c r="A18" s="4" t="s">
        <v>23</v>
      </c>
      <c r="B18" s="5" t="s">
        <v>24</v>
      </c>
    </row>
    <row r="19" ht="14.25" customHeight="1">
      <c r="A19" s="4" t="s">
        <v>25</v>
      </c>
      <c r="B19" s="5" t="s">
        <v>26</v>
      </c>
    </row>
    <row r="20" ht="14.25" customHeight="1">
      <c r="A20" s="6"/>
      <c r="B20" s="5"/>
    </row>
    <row r="21" ht="14.25" customHeight="1">
      <c r="A21" s="4" t="s">
        <v>27</v>
      </c>
      <c r="B21" s="5"/>
    </row>
    <row r="22" ht="14.25" customHeight="1">
      <c r="A22" s="6" t="s">
        <v>28</v>
      </c>
      <c r="B22" s="5" t="s">
        <v>29</v>
      </c>
    </row>
    <row r="23" ht="14.25" customHeight="1">
      <c r="A23" s="6" t="s">
        <v>30</v>
      </c>
      <c r="B23" s="5" t="s">
        <v>31</v>
      </c>
    </row>
    <row r="24" ht="14.25" customHeight="1">
      <c r="A24" s="6" t="s">
        <v>32</v>
      </c>
      <c r="B24" s="5" t="s">
        <v>33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8.0"/>
    <col customWidth="1" min="2" max="2" width="24.0"/>
    <col customWidth="1" min="3" max="3" width="48.0"/>
    <col customWidth="1" min="4" max="26" width="8.71"/>
  </cols>
  <sheetData>
    <row r="1" ht="21.75" customHeight="1">
      <c r="A1" s="8" t="s">
        <v>34</v>
      </c>
      <c r="B1" s="9"/>
      <c r="C1" s="10"/>
    </row>
    <row r="2" ht="30.0" customHeight="1">
      <c r="A2" s="11" t="s">
        <v>35</v>
      </c>
    </row>
    <row r="3" ht="14.25" customHeight="1">
      <c r="A3" s="12" t="s">
        <v>36</v>
      </c>
      <c r="B3" s="12" t="s">
        <v>37</v>
      </c>
      <c r="C3" s="12" t="s">
        <v>38</v>
      </c>
    </row>
    <row r="4" ht="14.25" customHeight="1">
      <c r="A4" s="13" t="s">
        <v>39</v>
      </c>
      <c r="B4" s="14">
        <v>1823.0</v>
      </c>
      <c r="C4" s="15" t="s">
        <v>40</v>
      </c>
    </row>
    <row r="5" ht="14.25" customHeight="1">
      <c r="A5" s="13" t="s">
        <v>41</v>
      </c>
      <c r="B5" s="14">
        <v>781.0</v>
      </c>
      <c r="C5" s="15" t="s">
        <v>42</v>
      </c>
    </row>
    <row r="6" ht="14.25" customHeight="1">
      <c r="A6" s="13" t="s">
        <v>43</v>
      </c>
      <c r="B6" s="14">
        <v>417.0</v>
      </c>
      <c r="C6" s="15" t="s">
        <v>44</v>
      </c>
    </row>
    <row r="7" ht="14.25" customHeight="1">
      <c r="A7" s="13" t="s">
        <v>45</v>
      </c>
      <c r="B7" s="14">
        <v>260.0</v>
      </c>
      <c r="C7" s="15" t="s">
        <v>46</v>
      </c>
    </row>
    <row r="8" ht="14.25" customHeight="1">
      <c r="A8" s="13"/>
      <c r="B8" s="14"/>
      <c r="C8" s="16" t="s">
        <v>47</v>
      </c>
    </row>
    <row r="9" ht="14.25" customHeight="1">
      <c r="A9" s="17"/>
      <c r="B9" s="18"/>
      <c r="C9" s="16" t="s">
        <v>47</v>
      </c>
    </row>
    <row r="10" ht="14.25" customHeight="1">
      <c r="A10" s="17"/>
      <c r="B10" s="18"/>
      <c r="C10" s="16" t="s">
        <v>47</v>
      </c>
    </row>
    <row r="11" ht="14.25" customHeight="1">
      <c r="A11" s="17"/>
      <c r="B11" s="18"/>
      <c r="C11" s="16" t="s">
        <v>47</v>
      </c>
    </row>
    <row r="12" ht="14.25" customHeight="1">
      <c r="A12" s="17"/>
      <c r="B12" s="18"/>
      <c r="C12" s="16" t="s">
        <v>47</v>
      </c>
    </row>
    <row r="13" ht="14.25" customHeight="1">
      <c r="A13" s="17"/>
      <c r="B13" s="18"/>
      <c r="C13" s="16" t="s">
        <v>47</v>
      </c>
    </row>
    <row r="14" ht="14.25" customHeight="1">
      <c r="A14" s="17"/>
      <c r="B14" s="18"/>
      <c r="C14" s="16" t="s">
        <v>47</v>
      </c>
    </row>
    <row r="15" ht="14.25" customHeight="1">
      <c r="B15" s="18"/>
      <c r="C15" s="16"/>
    </row>
    <row r="16" ht="14.25" customHeight="1">
      <c r="B16" s="18"/>
      <c r="C16" s="16"/>
    </row>
    <row r="17" ht="14.25" customHeight="1">
      <c r="B17" s="18"/>
      <c r="C17" s="16"/>
    </row>
    <row r="18" ht="14.25" customHeight="1">
      <c r="B18" s="18"/>
      <c r="C18" s="16"/>
    </row>
    <row r="19" ht="14.25" customHeight="1">
      <c r="A19" s="17"/>
      <c r="B19" s="18"/>
      <c r="C19" s="16"/>
    </row>
    <row r="20" ht="14.25" customHeight="1">
      <c r="A20" s="17"/>
      <c r="B20" s="18"/>
      <c r="C20" s="16"/>
    </row>
    <row r="21" ht="14.25" customHeight="1">
      <c r="A21" s="17"/>
      <c r="B21" s="18"/>
      <c r="C21" s="16"/>
    </row>
    <row r="22" ht="14.25" customHeight="1">
      <c r="A22" s="17"/>
      <c r="B22" s="18"/>
      <c r="C22" s="16"/>
    </row>
    <row r="23" ht="14.25" customHeight="1">
      <c r="A23" s="17"/>
      <c r="B23" s="18"/>
      <c r="C23" s="16"/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:C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9.57"/>
    <col customWidth="1" min="2" max="2" width="16.0"/>
    <col customWidth="1" min="3" max="4" width="18.0"/>
    <col customWidth="1" min="5" max="5" width="16.0"/>
    <col customWidth="1" min="6" max="6" width="22.0"/>
    <col customWidth="1" min="7" max="7" width="18.0"/>
    <col customWidth="1" min="8" max="8" width="34.0"/>
    <col customWidth="1" min="9" max="26" width="8.71"/>
  </cols>
  <sheetData>
    <row r="1" ht="21.75" customHeight="1">
      <c r="A1" s="19" t="s">
        <v>48</v>
      </c>
      <c r="B1" s="9"/>
      <c r="C1" s="9"/>
      <c r="D1" s="9"/>
      <c r="E1" s="9"/>
      <c r="F1" s="9"/>
      <c r="G1" s="9"/>
      <c r="H1" s="10"/>
    </row>
    <row r="2" ht="30.0" customHeight="1">
      <c r="A2" s="11" t="s">
        <v>49</v>
      </c>
    </row>
    <row r="3" ht="14.25" customHeight="1"/>
    <row r="4" ht="21.75" customHeight="1">
      <c r="A4" s="20" t="s">
        <v>50</v>
      </c>
      <c r="B4" s="9"/>
      <c r="C4" s="9"/>
      <c r="D4" s="9"/>
      <c r="E4" s="9"/>
      <c r="F4" s="9"/>
      <c r="G4" s="9"/>
      <c r="H4" s="10"/>
    </row>
    <row r="5" ht="14.25" customHeight="1">
      <c r="A5" s="21" t="s">
        <v>51</v>
      </c>
      <c r="B5" s="22" t="s">
        <v>52</v>
      </c>
      <c r="C5" s="23"/>
      <c r="D5" s="24"/>
    </row>
    <row r="6" ht="14.25" customHeight="1">
      <c r="A6" s="21" t="s">
        <v>53</v>
      </c>
      <c r="B6" s="22" t="s">
        <v>54</v>
      </c>
      <c r="C6" s="23"/>
      <c r="D6" s="24"/>
    </row>
    <row r="7" ht="14.25" customHeight="1">
      <c r="A7" s="21" t="s">
        <v>55</v>
      </c>
      <c r="B7" s="22" t="s">
        <v>56</v>
      </c>
      <c r="C7" s="23"/>
      <c r="D7" s="24"/>
    </row>
    <row r="8" ht="14.25" customHeight="1">
      <c r="A8" s="21" t="s">
        <v>57</v>
      </c>
      <c r="B8" s="22" t="s">
        <v>58</v>
      </c>
      <c r="C8" s="23"/>
      <c r="D8" s="24"/>
    </row>
    <row r="9" ht="14.25" customHeight="1">
      <c r="A9" s="21" t="s">
        <v>59</v>
      </c>
      <c r="B9" s="22" t="s">
        <v>60</v>
      </c>
      <c r="C9" s="23"/>
      <c r="D9" s="24"/>
    </row>
    <row r="10" ht="14.25" customHeight="1">
      <c r="A10" s="21" t="s">
        <v>61</v>
      </c>
      <c r="B10" s="25">
        <v>240.0</v>
      </c>
      <c r="C10" s="23"/>
      <c r="D10" s="24"/>
    </row>
    <row r="11" ht="14.25" customHeight="1"/>
    <row r="12" ht="21.75" customHeight="1">
      <c r="A12" s="20" t="s">
        <v>62</v>
      </c>
      <c r="B12" s="9"/>
      <c r="C12" s="9"/>
      <c r="D12" s="9"/>
      <c r="E12" s="9"/>
      <c r="F12" s="9"/>
      <c r="G12" s="9"/>
      <c r="H12" s="10"/>
    </row>
    <row r="13" ht="30.0" customHeight="1">
      <c r="A13" s="11" t="s">
        <v>63</v>
      </c>
    </row>
    <row r="14" ht="15.0" customHeight="1">
      <c r="A14" s="26" t="s">
        <v>64</v>
      </c>
      <c r="B14" s="26" t="s">
        <v>65</v>
      </c>
      <c r="C14" s="26" t="s">
        <v>66</v>
      </c>
      <c r="D14" s="26" t="s">
        <v>67</v>
      </c>
      <c r="E14" s="27" t="s">
        <v>68</v>
      </c>
      <c r="F14" s="23"/>
      <c r="G14" s="23"/>
      <c r="H14" s="28"/>
    </row>
    <row r="15" ht="14.25" customHeight="1">
      <c r="A15" s="29" t="s">
        <v>69</v>
      </c>
      <c r="B15" s="30">
        <v>1.0</v>
      </c>
      <c r="C15" s="31">
        <v>23000.0</v>
      </c>
      <c r="D15" s="32">
        <f t="shared" ref="D15:D20" si="1">N(B15)*N(C15)</f>
        <v>23000</v>
      </c>
      <c r="E15" s="33"/>
      <c r="F15" s="23"/>
      <c r="G15" s="23"/>
      <c r="H15" s="28"/>
    </row>
    <row r="16" ht="14.25" customHeight="1">
      <c r="A16" s="29" t="s">
        <v>70</v>
      </c>
      <c r="B16" s="30">
        <v>1.0</v>
      </c>
      <c r="C16" s="31">
        <v>19356.48</v>
      </c>
      <c r="D16" s="32">
        <f t="shared" si="1"/>
        <v>19356.48</v>
      </c>
      <c r="E16" s="33"/>
      <c r="F16" s="23"/>
      <c r="G16" s="23"/>
      <c r="H16" s="28"/>
    </row>
    <row r="17" ht="14.25" customHeight="1">
      <c r="A17" s="29" t="s">
        <v>71</v>
      </c>
      <c r="B17" s="30">
        <v>1.0</v>
      </c>
      <c r="C17" s="31">
        <v>3000000.0</v>
      </c>
      <c r="D17" s="32">
        <f t="shared" si="1"/>
        <v>3000000</v>
      </c>
      <c r="E17" s="33"/>
      <c r="F17" s="23"/>
      <c r="G17" s="23"/>
      <c r="H17" s="28"/>
    </row>
    <row r="18" ht="14.25" customHeight="1">
      <c r="A18" s="34"/>
      <c r="B18" s="35"/>
      <c r="C18" s="36"/>
      <c r="D18" s="32">
        <f t="shared" si="1"/>
        <v>0</v>
      </c>
      <c r="E18" s="33"/>
      <c r="F18" s="23"/>
      <c r="G18" s="23"/>
      <c r="H18" s="28"/>
    </row>
    <row r="19" ht="14.25" customHeight="1">
      <c r="A19" s="34"/>
      <c r="B19" s="35"/>
      <c r="C19" s="36"/>
      <c r="D19" s="32">
        <f t="shared" si="1"/>
        <v>0</v>
      </c>
      <c r="E19" s="33"/>
      <c r="F19" s="23"/>
      <c r="G19" s="23"/>
      <c r="H19" s="28"/>
    </row>
    <row r="20" ht="14.25" customHeight="1">
      <c r="A20" s="34"/>
      <c r="B20" s="35"/>
      <c r="C20" s="36"/>
      <c r="D20" s="32">
        <f t="shared" si="1"/>
        <v>0</v>
      </c>
      <c r="E20" s="33"/>
      <c r="F20" s="23"/>
      <c r="G20" s="23"/>
      <c r="H20" s="28"/>
    </row>
    <row r="21" ht="14.25" customHeight="1">
      <c r="A21" s="37" t="s">
        <v>72</v>
      </c>
      <c r="B21" s="38"/>
      <c r="C21" s="38"/>
      <c r="D21" s="39">
        <f>SUM(D15:D20)</f>
        <v>3042356.48</v>
      </c>
      <c r="E21" s="38"/>
      <c r="F21" s="38"/>
      <c r="G21" s="38"/>
      <c r="H21" s="38"/>
    </row>
    <row r="22" ht="14.25" customHeight="1"/>
    <row r="23" ht="21.75" customHeight="1">
      <c r="A23" s="20" t="s">
        <v>73</v>
      </c>
      <c r="B23" s="9"/>
      <c r="C23" s="9"/>
      <c r="D23" s="9"/>
      <c r="E23" s="9"/>
      <c r="F23" s="9"/>
      <c r="G23" s="9"/>
      <c r="H23" s="10"/>
    </row>
    <row r="24" ht="30.0" customHeight="1">
      <c r="A24" s="11" t="s">
        <v>74</v>
      </c>
    </row>
    <row r="25" ht="15.0" customHeight="1">
      <c r="A25" s="26" t="s">
        <v>64</v>
      </c>
      <c r="B25" s="26" t="s">
        <v>65</v>
      </c>
      <c r="C25" s="26" t="s">
        <v>66</v>
      </c>
      <c r="D25" s="26" t="s">
        <v>67</v>
      </c>
      <c r="E25" s="27" t="s">
        <v>68</v>
      </c>
      <c r="F25" s="23"/>
      <c r="G25" s="23"/>
      <c r="H25" s="28"/>
    </row>
    <row r="26" ht="14.25" customHeight="1">
      <c r="A26" s="29" t="s">
        <v>75</v>
      </c>
      <c r="B26" s="30">
        <v>1.0</v>
      </c>
      <c r="C26" s="31">
        <v>20000.0</v>
      </c>
      <c r="D26" s="32">
        <f t="shared" ref="D26:D31" si="2">N(B26)*N(C26)</f>
        <v>20000</v>
      </c>
      <c r="E26" s="33"/>
      <c r="F26" s="23"/>
      <c r="G26" s="23"/>
      <c r="H26" s="28"/>
    </row>
    <row r="27" ht="14.25" customHeight="1">
      <c r="A27" s="29" t="s">
        <v>76</v>
      </c>
      <c r="B27" s="30">
        <v>55.0</v>
      </c>
      <c r="C27" s="31">
        <v>781.0</v>
      </c>
      <c r="D27" s="32">
        <f t="shared" si="2"/>
        <v>42955</v>
      </c>
      <c r="E27" s="40" t="s">
        <v>77</v>
      </c>
      <c r="F27" s="23"/>
      <c r="G27" s="23"/>
      <c r="H27" s="28"/>
    </row>
    <row r="28" ht="14.25" customHeight="1">
      <c r="A28" s="29" t="s">
        <v>78</v>
      </c>
      <c r="B28" s="30">
        <v>1.0</v>
      </c>
      <c r="C28" s="31">
        <v>50000.0</v>
      </c>
      <c r="D28" s="32">
        <f t="shared" si="2"/>
        <v>50000</v>
      </c>
      <c r="E28" s="40" t="s">
        <v>79</v>
      </c>
      <c r="F28" s="23"/>
      <c r="G28" s="23"/>
      <c r="H28" s="28"/>
    </row>
    <row r="29" ht="14.25" customHeight="1">
      <c r="A29" s="34"/>
      <c r="B29" s="35"/>
      <c r="C29" s="36"/>
      <c r="D29" s="32">
        <f t="shared" si="2"/>
        <v>0</v>
      </c>
      <c r="E29" s="33"/>
      <c r="F29" s="23"/>
      <c r="G29" s="23"/>
      <c r="H29" s="28"/>
    </row>
    <row r="30" ht="14.25" customHeight="1">
      <c r="A30" s="34"/>
      <c r="B30" s="35"/>
      <c r="C30" s="36"/>
      <c r="D30" s="32">
        <f t="shared" si="2"/>
        <v>0</v>
      </c>
      <c r="E30" s="33"/>
      <c r="F30" s="23"/>
      <c r="G30" s="23"/>
      <c r="H30" s="28"/>
    </row>
    <row r="31" ht="14.25" customHeight="1">
      <c r="A31" s="34"/>
      <c r="B31" s="35"/>
      <c r="C31" s="36"/>
      <c r="D31" s="32">
        <f t="shared" si="2"/>
        <v>0</v>
      </c>
      <c r="E31" s="33"/>
      <c r="F31" s="23"/>
      <c r="G31" s="23"/>
      <c r="H31" s="28"/>
    </row>
    <row r="32" ht="14.25" customHeight="1">
      <c r="A32" s="37" t="s">
        <v>72</v>
      </c>
      <c r="B32" s="38"/>
      <c r="C32" s="38"/>
      <c r="D32" s="39">
        <f>SUM(D26:D31)</f>
        <v>112955</v>
      </c>
      <c r="E32" s="38"/>
      <c r="F32" s="38"/>
      <c r="G32" s="38"/>
      <c r="H32" s="38"/>
    </row>
    <row r="33" ht="14.25" customHeight="1"/>
    <row r="34" ht="21.75" customHeight="1">
      <c r="A34" s="20" t="s">
        <v>80</v>
      </c>
      <c r="B34" s="9"/>
      <c r="C34" s="9"/>
      <c r="D34" s="9"/>
      <c r="E34" s="9"/>
      <c r="F34" s="9"/>
      <c r="G34" s="9"/>
      <c r="H34" s="10"/>
    </row>
    <row r="35" ht="30.0" customHeight="1">
      <c r="A35" s="11" t="s">
        <v>81</v>
      </c>
    </row>
    <row r="36" ht="15.0" customHeight="1">
      <c r="A36" s="26" t="s">
        <v>64</v>
      </c>
      <c r="B36" s="26" t="s">
        <v>65</v>
      </c>
      <c r="C36" s="26" t="s">
        <v>66</v>
      </c>
      <c r="D36" s="26" t="s">
        <v>67</v>
      </c>
      <c r="E36" s="27" t="s">
        <v>68</v>
      </c>
      <c r="F36" s="23"/>
      <c r="G36" s="23"/>
      <c r="H36" s="28"/>
    </row>
    <row r="37" ht="14.25" customHeight="1">
      <c r="A37" s="29" t="s">
        <v>82</v>
      </c>
      <c r="B37" s="30">
        <v>1.0</v>
      </c>
      <c r="C37" s="31">
        <v>23000.0</v>
      </c>
      <c r="D37" s="32">
        <f t="shared" ref="D37:D42" si="3">N(B37)*N(C37)</f>
        <v>23000</v>
      </c>
      <c r="E37" s="33"/>
      <c r="F37" s="23"/>
      <c r="G37" s="23"/>
      <c r="H37" s="28"/>
    </row>
    <row r="38" ht="14.25" customHeight="1">
      <c r="A38" s="29" t="s">
        <v>83</v>
      </c>
      <c r="B38" s="30">
        <v>1.0</v>
      </c>
      <c r="C38" s="31">
        <v>19356.48</v>
      </c>
      <c r="D38" s="32">
        <f t="shared" si="3"/>
        <v>19356.48</v>
      </c>
      <c r="E38" s="33"/>
      <c r="F38" s="23"/>
      <c r="G38" s="23"/>
      <c r="H38" s="28"/>
    </row>
    <row r="39" ht="14.25" customHeight="1">
      <c r="A39" s="29" t="s">
        <v>84</v>
      </c>
      <c r="B39" s="30">
        <v>1.0</v>
      </c>
      <c r="C39" s="31">
        <v>30000.0</v>
      </c>
      <c r="D39" s="32">
        <f t="shared" si="3"/>
        <v>30000</v>
      </c>
      <c r="E39" s="40" t="s">
        <v>85</v>
      </c>
      <c r="F39" s="23"/>
      <c r="G39" s="23"/>
      <c r="H39" s="28"/>
    </row>
    <row r="40" ht="14.25" customHeight="1">
      <c r="A40" s="29" t="s">
        <v>86</v>
      </c>
      <c r="B40" s="30">
        <v>1.0</v>
      </c>
      <c r="C40" s="31">
        <v>23000.0</v>
      </c>
      <c r="D40" s="32">
        <f t="shared" si="3"/>
        <v>23000</v>
      </c>
      <c r="E40" s="40" t="s">
        <v>87</v>
      </c>
      <c r="F40" s="23"/>
      <c r="G40" s="23"/>
      <c r="H40" s="28"/>
    </row>
    <row r="41" ht="14.25" customHeight="1">
      <c r="A41" s="29" t="s">
        <v>88</v>
      </c>
      <c r="B41" s="30">
        <v>1.0</v>
      </c>
      <c r="C41" s="31">
        <v>30000.0</v>
      </c>
      <c r="D41" s="32">
        <f t="shared" si="3"/>
        <v>30000</v>
      </c>
      <c r="E41" s="33"/>
      <c r="F41" s="23"/>
      <c r="G41" s="23"/>
      <c r="H41" s="28"/>
    </row>
    <row r="42" ht="14.25" customHeight="1">
      <c r="A42" s="34"/>
      <c r="B42" s="35"/>
      <c r="C42" s="36"/>
      <c r="D42" s="32">
        <f t="shared" si="3"/>
        <v>0</v>
      </c>
      <c r="E42" s="33"/>
      <c r="F42" s="23"/>
      <c r="G42" s="23"/>
      <c r="H42" s="28"/>
    </row>
    <row r="43" ht="14.25" customHeight="1">
      <c r="A43" s="37" t="s">
        <v>72</v>
      </c>
      <c r="B43" s="38"/>
      <c r="C43" s="38"/>
      <c r="D43" s="39">
        <f>SUM(D37:D42)</f>
        <v>125356.48</v>
      </c>
      <c r="E43" s="38"/>
      <c r="F43" s="38"/>
      <c r="G43" s="38"/>
      <c r="H43" s="38"/>
    </row>
    <row r="44" ht="14.25" customHeight="1"/>
    <row r="45" ht="21.75" customHeight="1">
      <c r="A45" s="20" t="s">
        <v>89</v>
      </c>
      <c r="B45" s="9"/>
      <c r="C45" s="9"/>
      <c r="D45" s="9"/>
      <c r="E45" s="9"/>
      <c r="F45" s="9"/>
      <c r="G45" s="9"/>
      <c r="H45" s="10"/>
    </row>
    <row r="46" ht="30.0" customHeight="1">
      <c r="A46" s="11" t="s">
        <v>90</v>
      </c>
    </row>
    <row r="47" ht="15.0" customHeight="1">
      <c r="A47" s="26" t="s">
        <v>64</v>
      </c>
      <c r="B47" s="26" t="s">
        <v>65</v>
      </c>
      <c r="C47" s="26" t="s">
        <v>66</v>
      </c>
      <c r="D47" s="26" t="s">
        <v>67</v>
      </c>
      <c r="E47" s="27" t="s">
        <v>68</v>
      </c>
      <c r="F47" s="23"/>
      <c r="G47" s="23"/>
      <c r="H47" s="28"/>
    </row>
    <row r="48" ht="14.25" customHeight="1">
      <c r="A48" s="29" t="s">
        <v>91</v>
      </c>
      <c r="B48" s="30">
        <v>5000000.0</v>
      </c>
      <c r="C48" s="41">
        <v>0.1</v>
      </c>
      <c r="D48" s="32">
        <f t="shared" ref="D48:D49" si="4">N(B48)*N(C48)</f>
        <v>500000</v>
      </c>
      <c r="E48" s="40" t="s">
        <v>92</v>
      </c>
      <c r="F48" s="23"/>
      <c r="G48" s="23"/>
      <c r="H48" s="28"/>
    </row>
    <row r="49" ht="14.25" customHeight="1">
      <c r="A49" s="29" t="s">
        <v>93</v>
      </c>
      <c r="B49" s="30">
        <v>1000.0</v>
      </c>
      <c r="C49" s="31">
        <v>20.0</v>
      </c>
      <c r="D49" s="32">
        <f t="shared" si="4"/>
        <v>20000</v>
      </c>
      <c r="E49" s="40" t="s">
        <v>94</v>
      </c>
      <c r="F49" s="23"/>
      <c r="G49" s="23"/>
      <c r="H49" s="28"/>
    </row>
    <row r="50" ht="14.25" customHeight="1">
      <c r="A50" s="42" t="s">
        <v>95</v>
      </c>
      <c r="B50" s="30">
        <v>57600.0</v>
      </c>
      <c r="C50" s="31">
        <v>417.0</v>
      </c>
      <c r="D50" s="32">
        <f>C50*B50</f>
        <v>24019200</v>
      </c>
      <c r="E50" s="40" t="s">
        <v>96</v>
      </c>
      <c r="F50" s="23"/>
      <c r="G50" s="23"/>
      <c r="H50" s="28"/>
    </row>
    <row r="51" ht="14.25" customHeight="1">
      <c r="A51" s="34"/>
      <c r="B51" s="35"/>
      <c r="C51" s="36"/>
      <c r="D51" s="32">
        <f t="shared" ref="D51:D53" si="5">N(B51)*N(C51)</f>
        <v>0</v>
      </c>
      <c r="E51" s="33"/>
      <c r="F51" s="23"/>
      <c r="G51" s="23"/>
      <c r="H51" s="28"/>
    </row>
    <row r="52" ht="14.25" customHeight="1">
      <c r="A52" s="34"/>
      <c r="B52" s="35"/>
      <c r="C52" s="36"/>
      <c r="D52" s="32">
        <f t="shared" si="5"/>
        <v>0</v>
      </c>
      <c r="E52" s="33"/>
      <c r="F52" s="23"/>
      <c r="G52" s="23"/>
      <c r="H52" s="28"/>
    </row>
    <row r="53" ht="14.25" customHeight="1">
      <c r="A53" s="34"/>
      <c r="B53" s="35"/>
      <c r="C53" s="36"/>
      <c r="D53" s="32">
        <f t="shared" si="5"/>
        <v>0</v>
      </c>
      <c r="E53" s="33"/>
      <c r="F53" s="23"/>
      <c r="G53" s="23"/>
      <c r="H53" s="28"/>
    </row>
    <row r="54" ht="14.25" customHeight="1">
      <c r="A54" s="37" t="s">
        <v>72</v>
      </c>
      <c r="B54" s="38"/>
      <c r="C54" s="38"/>
      <c r="D54" s="39">
        <f>SUM(D48:D53)</f>
        <v>24539200</v>
      </c>
      <c r="E54" s="38"/>
      <c r="F54" s="38"/>
      <c r="G54" s="38"/>
      <c r="H54" s="38"/>
    </row>
    <row r="55" ht="14.25" customHeight="1"/>
    <row r="56" ht="21.75" customHeight="1">
      <c r="A56" s="20" t="s">
        <v>97</v>
      </c>
      <c r="B56" s="9"/>
      <c r="C56" s="9"/>
      <c r="D56" s="9"/>
      <c r="E56" s="9"/>
      <c r="F56" s="9"/>
      <c r="G56" s="9"/>
      <c r="H56" s="10"/>
    </row>
    <row r="57" ht="30.0" customHeight="1">
      <c r="A57" s="11" t="s">
        <v>98</v>
      </c>
    </row>
    <row r="58" ht="30.0" customHeight="1">
      <c r="A58" s="26" t="s">
        <v>99</v>
      </c>
      <c r="B58" s="26" t="s">
        <v>100</v>
      </c>
      <c r="C58" s="26" t="s">
        <v>101</v>
      </c>
      <c r="D58" s="26" t="s">
        <v>102</v>
      </c>
      <c r="E58" s="26" t="s">
        <v>103</v>
      </c>
      <c r="F58" s="26" t="s">
        <v>104</v>
      </c>
      <c r="G58" s="26" t="s">
        <v>105</v>
      </c>
      <c r="H58" s="26" t="s">
        <v>106</v>
      </c>
    </row>
    <row r="59" ht="14.25" customHeight="1">
      <c r="A59" s="29" t="s">
        <v>39</v>
      </c>
      <c r="B59" s="30">
        <v>30.0</v>
      </c>
      <c r="C59" s="43">
        <v>6.4</v>
      </c>
      <c r="D59" s="29" t="s">
        <v>107</v>
      </c>
      <c r="E59" s="44">
        <f t="shared" ref="E59:E64" si="6">N(B59)*N(C59)*IF(D59="Day",$B$10,IF(D59="Week",48,IF(D59="Month",12,IF(D59="Year",1,0))))</f>
        <v>46080</v>
      </c>
      <c r="F59" s="45">
        <f>IFERROR(VLOOKUP(A59,RateTable,2,FALSE()),0)</f>
        <v>1823</v>
      </c>
      <c r="G59" s="32">
        <f t="shared" ref="G59:G64" si="7">E59*F59</f>
        <v>84003840</v>
      </c>
      <c r="H59" s="46" t="s">
        <v>108</v>
      </c>
    </row>
    <row r="60" ht="14.25" customHeight="1">
      <c r="A60" s="29" t="s">
        <v>41</v>
      </c>
      <c r="B60" s="30">
        <v>90.0</v>
      </c>
      <c r="C60" s="43">
        <v>6.0</v>
      </c>
      <c r="D60" s="29" t="s">
        <v>107</v>
      </c>
      <c r="E60" s="44">
        <f t="shared" si="6"/>
        <v>129600</v>
      </c>
      <c r="F60" s="45">
        <f>IFERROR(VLOOKUP(A60,RateTable,2,FALSE()),0)</f>
        <v>781</v>
      </c>
      <c r="G60" s="32">
        <f t="shared" si="7"/>
        <v>101217600</v>
      </c>
      <c r="H60" s="46" t="s">
        <v>109</v>
      </c>
    </row>
    <row r="61" ht="14.25" customHeight="1">
      <c r="A61" s="29" t="s">
        <v>43</v>
      </c>
      <c r="B61" s="30">
        <v>25.0</v>
      </c>
      <c r="C61" s="43">
        <v>3.0</v>
      </c>
      <c r="D61" s="29" t="s">
        <v>107</v>
      </c>
      <c r="E61" s="44">
        <f t="shared" si="6"/>
        <v>18000</v>
      </c>
      <c r="F61" s="45">
        <f>IFERROR(VLOOKUP(A61,RateTable,2,FALSE()),0)</f>
        <v>417</v>
      </c>
      <c r="G61" s="32">
        <f t="shared" si="7"/>
        <v>7506000</v>
      </c>
      <c r="H61" s="47"/>
    </row>
    <row r="62" ht="14.25" customHeight="1">
      <c r="A62" s="29" t="s">
        <v>45</v>
      </c>
      <c r="B62" s="30">
        <v>90.0</v>
      </c>
      <c r="C62" s="43">
        <v>6.0</v>
      </c>
      <c r="D62" s="29" t="s">
        <v>107</v>
      </c>
      <c r="E62" s="44">
        <f t="shared" si="6"/>
        <v>129600</v>
      </c>
      <c r="F62" s="45">
        <f>IFERROR(VLOOKUP(A62,RateTable,2,FALSE()),0)</f>
        <v>260</v>
      </c>
      <c r="G62" s="32">
        <f t="shared" si="7"/>
        <v>33696000</v>
      </c>
      <c r="H62" s="46" t="s">
        <v>110</v>
      </c>
    </row>
    <row r="63" ht="14.25" customHeight="1">
      <c r="A63" s="34"/>
      <c r="B63" s="35"/>
      <c r="C63" s="48"/>
      <c r="D63" s="34"/>
      <c r="E63" s="44">
        <f t="shared" si="6"/>
        <v>0</v>
      </c>
      <c r="F63" s="45">
        <f>IFERROR(VLOOKUP(A63,RateTable,2,FALSE()),0)</f>
        <v>0</v>
      </c>
      <c r="G63" s="32">
        <f t="shared" si="7"/>
        <v>0</v>
      </c>
      <c r="H63" s="47"/>
    </row>
    <row r="64" ht="14.25" customHeight="1">
      <c r="A64" s="34"/>
      <c r="B64" s="35"/>
      <c r="C64" s="48"/>
      <c r="D64" s="34"/>
      <c r="E64" s="44">
        <f t="shared" si="6"/>
        <v>0</v>
      </c>
      <c r="F64" s="45">
        <f>IFERROR(VLOOKUP(A64,RateTable,2,FALSE()),0)</f>
        <v>0</v>
      </c>
      <c r="G64" s="32">
        <f t="shared" si="7"/>
        <v>0</v>
      </c>
      <c r="H64" s="47"/>
    </row>
    <row r="65" ht="14.25" customHeight="1">
      <c r="A65" s="37" t="s">
        <v>72</v>
      </c>
      <c r="B65" s="49">
        <f>SUM(B59:B64)</f>
        <v>235</v>
      </c>
      <c r="C65" s="38"/>
      <c r="D65" s="38"/>
      <c r="E65" s="50">
        <f>SUM(E59:E64)</f>
        <v>323280</v>
      </c>
      <c r="F65" s="38"/>
      <c r="G65" s="51">
        <f>SUM(G59:G64)</f>
        <v>226423440</v>
      </c>
      <c r="H65" s="38"/>
    </row>
    <row r="66" ht="14.25" customHeight="1"/>
    <row r="67" ht="21.75" customHeight="1">
      <c r="A67" s="20" t="s">
        <v>111</v>
      </c>
      <c r="B67" s="9"/>
      <c r="C67" s="9"/>
      <c r="D67" s="9"/>
      <c r="E67" s="9"/>
      <c r="F67" s="9"/>
      <c r="G67" s="9"/>
      <c r="H67" s="10"/>
    </row>
    <row r="68" ht="30.0" customHeight="1">
      <c r="A68" s="11" t="s">
        <v>112</v>
      </c>
    </row>
    <row r="69" ht="30.0" customHeight="1">
      <c r="A69" s="26" t="s">
        <v>113</v>
      </c>
      <c r="B69" s="26" t="s">
        <v>114</v>
      </c>
      <c r="C69" s="26" t="s">
        <v>115</v>
      </c>
      <c r="D69" s="26" t="s">
        <v>116</v>
      </c>
      <c r="E69" s="26" t="s">
        <v>117</v>
      </c>
      <c r="F69" s="26" t="s">
        <v>118</v>
      </c>
      <c r="G69" s="27" t="s">
        <v>106</v>
      </c>
      <c r="H69" s="28"/>
    </row>
    <row r="70" ht="14.25" customHeight="1">
      <c r="A70" s="42" t="s">
        <v>119</v>
      </c>
      <c r="B70" s="52">
        <v>50000.0</v>
      </c>
      <c r="C70" s="31">
        <v>500.0</v>
      </c>
      <c r="D70" s="32">
        <f t="shared" ref="D70:D75" si="8">N(B70)*N(C70)</f>
        <v>25000000</v>
      </c>
      <c r="E70" s="53">
        <v>0.8</v>
      </c>
      <c r="F70" s="32">
        <f t="shared" ref="F70:F75" si="9">D70*N(E70)</f>
        <v>20000000</v>
      </c>
      <c r="G70" s="40" t="s">
        <v>120</v>
      </c>
      <c r="H70" s="28"/>
    </row>
    <row r="71" ht="14.25" customHeight="1">
      <c r="A71" s="34"/>
      <c r="B71" s="35"/>
      <c r="C71" s="36"/>
      <c r="D71" s="32">
        <f t="shared" si="8"/>
        <v>0</v>
      </c>
      <c r="E71" s="54"/>
      <c r="F71" s="32">
        <f t="shared" si="9"/>
        <v>0</v>
      </c>
      <c r="G71" s="33"/>
      <c r="H71" s="28"/>
    </row>
    <row r="72" ht="14.25" customHeight="1">
      <c r="A72" s="34"/>
      <c r="B72" s="35"/>
      <c r="C72" s="36"/>
      <c r="D72" s="32">
        <f t="shared" si="8"/>
        <v>0</v>
      </c>
      <c r="E72" s="54"/>
      <c r="F72" s="32">
        <f t="shared" si="9"/>
        <v>0</v>
      </c>
      <c r="G72" s="33"/>
      <c r="H72" s="28"/>
    </row>
    <row r="73" ht="14.25" customHeight="1">
      <c r="A73" s="34"/>
      <c r="B73" s="35"/>
      <c r="C73" s="36"/>
      <c r="D73" s="32">
        <f t="shared" si="8"/>
        <v>0</v>
      </c>
      <c r="E73" s="54"/>
      <c r="F73" s="32">
        <f t="shared" si="9"/>
        <v>0</v>
      </c>
      <c r="G73" s="33"/>
      <c r="H73" s="28"/>
    </row>
    <row r="74" ht="14.25" customHeight="1">
      <c r="A74" s="34"/>
      <c r="B74" s="35"/>
      <c r="C74" s="36"/>
      <c r="D74" s="32">
        <f t="shared" si="8"/>
        <v>0</v>
      </c>
      <c r="E74" s="54"/>
      <c r="F74" s="32">
        <f t="shared" si="9"/>
        <v>0</v>
      </c>
      <c r="G74" s="33"/>
      <c r="H74" s="28"/>
    </row>
    <row r="75" ht="14.25" customHeight="1">
      <c r="A75" s="34"/>
      <c r="B75" s="35"/>
      <c r="C75" s="36"/>
      <c r="D75" s="32">
        <f t="shared" si="8"/>
        <v>0</v>
      </c>
      <c r="E75" s="54"/>
      <c r="F75" s="32">
        <f t="shared" si="9"/>
        <v>0</v>
      </c>
      <c r="G75" s="33"/>
      <c r="H75" s="28"/>
    </row>
    <row r="76" ht="14.25" customHeight="1">
      <c r="A76" s="37" t="s">
        <v>72</v>
      </c>
      <c r="B76" s="38"/>
      <c r="C76" s="38"/>
      <c r="D76" s="51">
        <f>SUM(D70:D75)</f>
        <v>25000000</v>
      </c>
      <c r="E76" s="38"/>
      <c r="F76" s="51">
        <f>SUM(F70:F75)</f>
        <v>20000000</v>
      </c>
      <c r="G76" s="38"/>
      <c r="H76" s="38"/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56">
    <mergeCell ref="A1:H1"/>
    <mergeCell ref="A2:H2"/>
    <mergeCell ref="A4:H4"/>
    <mergeCell ref="B5:D5"/>
    <mergeCell ref="B6:D6"/>
    <mergeCell ref="B7:D7"/>
    <mergeCell ref="B8:D8"/>
    <mergeCell ref="B9:D9"/>
    <mergeCell ref="B10:D10"/>
    <mergeCell ref="A12:H12"/>
    <mergeCell ref="A13:H13"/>
    <mergeCell ref="E14:H14"/>
    <mergeCell ref="E15:H15"/>
    <mergeCell ref="E16:H16"/>
    <mergeCell ref="E17:H17"/>
    <mergeCell ref="E18:H18"/>
    <mergeCell ref="E19:H19"/>
    <mergeCell ref="E20:H20"/>
    <mergeCell ref="A23:H23"/>
    <mergeCell ref="A24:H24"/>
    <mergeCell ref="E25:H25"/>
    <mergeCell ref="E26:H26"/>
    <mergeCell ref="E27:H27"/>
    <mergeCell ref="E28:H28"/>
    <mergeCell ref="E29:H29"/>
    <mergeCell ref="E30:H30"/>
    <mergeCell ref="E31:H31"/>
    <mergeCell ref="A34:H34"/>
    <mergeCell ref="A35:H35"/>
    <mergeCell ref="E36:H36"/>
    <mergeCell ref="E37:H37"/>
    <mergeCell ref="E38:H38"/>
    <mergeCell ref="E39:H39"/>
    <mergeCell ref="E40:H40"/>
    <mergeCell ref="E41:H41"/>
    <mergeCell ref="E42:H42"/>
    <mergeCell ref="A45:H45"/>
    <mergeCell ref="A46:H46"/>
    <mergeCell ref="E47:H47"/>
    <mergeCell ref="E48:H48"/>
    <mergeCell ref="E49:H49"/>
    <mergeCell ref="E50:H50"/>
    <mergeCell ref="G69:H69"/>
    <mergeCell ref="G70:H70"/>
    <mergeCell ref="G71:H71"/>
    <mergeCell ref="G72:H72"/>
    <mergeCell ref="G73:H73"/>
    <mergeCell ref="G74:H74"/>
    <mergeCell ref="G75:H75"/>
    <mergeCell ref="E51:H51"/>
    <mergeCell ref="E52:H52"/>
    <mergeCell ref="E53:H53"/>
    <mergeCell ref="A56:H56"/>
    <mergeCell ref="A57:H57"/>
    <mergeCell ref="A67:H67"/>
    <mergeCell ref="A68:H68"/>
  </mergeCells>
  <dataValidations>
    <dataValidation type="list" allowBlank="1" sqref="B9">
      <formula1>"High,Medium,Low"</formula1>
    </dataValidation>
    <dataValidation type="list" allowBlank="1" sqref="D59:D64">
      <formula1>"Day,Week,Month,Year"</formula1>
    </dataValidation>
    <dataValidation type="list" allowBlank="1" sqref="A59:A64">
      <formula1>RoleList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2.0"/>
    <col customWidth="1" min="2" max="2" width="18.0"/>
    <col customWidth="1" min="3" max="6" width="16.0"/>
    <col customWidth="1" min="7" max="7" width="14.0"/>
    <col customWidth="1" min="8" max="26" width="8.71"/>
  </cols>
  <sheetData>
    <row r="1" ht="21.75" customHeight="1">
      <c r="A1" s="19" t="s">
        <v>121</v>
      </c>
      <c r="B1" s="9"/>
      <c r="C1" s="9"/>
      <c r="D1" s="9"/>
      <c r="E1" s="9"/>
      <c r="F1" s="9"/>
      <c r="G1" s="10"/>
    </row>
    <row r="2" ht="30.0" customHeight="1">
      <c r="A2" s="11" t="s">
        <v>122</v>
      </c>
    </row>
    <row r="3" ht="14.25" customHeight="1"/>
    <row r="4" ht="14.25" customHeight="1">
      <c r="A4" s="55" t="s">
        <v>123</v>
      </c>
      <c r="B4" s="56"/>
      <c r="C4" s="56"/>
      <c r="D4" s="56"/>
    </row>
    <row r="5" ht="14.25" customHeight="1">
      <c r="A5" s="57" t="s">
        <v>124</v>
      </c>
      <c r="D5" s="58">
        <f>Inputs!$G$65</f>
        <v>226423440</v>
      </c>
    </row>
    <row r="6" ht="14.25" customHeight="1">
      <c r="A6" s="57" t="s">
        <v>125</v>
      </c>
      <c r="D6" s="58">
        <f>Inputs!$F$76</f>
        <v>20000000</v>
      </c>
    </row>
    <row r="7" ht="14.25" customHeight="1">
      <c r="A7" s="59" t="s">
        <v>126</v>
      </c>
      <c r="B7" s="60"/>
      <c r="C7" s="60"/>
      <c r="D7" s="61">
        <f>D5+D6</f>
        <v>246423440</v>
      </c>
    </row>
    <row r="8" ht="14.25" customHeight="1"/>
    <row r="9" ht="14.25" customHeight="1">
      <c r="A9" s="55" t="s">
        <v>127</v>
      </c>
      <c r="B9" s="56"/>
      <c r="C9" s="56"/>
      <c r="D9" s="56"/>
    </row>
    <row r="10" ht="14.25" customHeight="1">
      <c r="A10" s="57" t="s">
        <v>128</v>
      </c>
      <c r="D10" s="58">
        <f>Inputs!$D$43</f>
        <v>125356.48</v>
      </c>
    </row>
    <row r="11" ht="14.25" customHeight="1">
      <c r="A11" s="57" t="s">
        <v>129</v>
      </c>
      <c r="D11" s="58">
        <f>Inputs!$D$54</f>
        <v>24539200</v>
      </c>
    </row>
    <row r="12" ht="14.25" customHeight="1">
      <c r="A12" s="59" t="s">
        <v>130</v>
      </c>
      <c r="B12" s="60"/>
      <c r="C12" s="60"/>
      <c r="D12" s="61">
        <f>D10+D11</f>
        <v>24664556.48</v>
      </c>
    </row>
    <row r="13" ht="14.25" customHeight="1"/>
    <row r="14" ht="14.25" customHeight="1">
      <c r="A14" s="55" t="s">
        <v>131</v>
      </c>
      <c r="B14" s="56"/>
      <c r="C14" s="56"/>
      <c r="D14" s="56"/>
    </row>
    <row r="15" ht="14.25" customHeight="1">
      <c r="A15" s="57" t="s">
        <v>132</v>
      </c>
      <c r="D15" s="58">
        <f>Inputs!$D$21</f>
        <v>3042356.48</v>
      </c>
    </row>
    <row r="16" ht="14.25" customHeight="1">
      <c r="A16" s="57" t="s">
        <v>133</v>
      </c>
      <c r="D16" s="58">
        <f>Inputs!$D$32</f>
        <v>112955</v>
      </c>
    </row>
    <row r="17" ht="14.25" customHeight="1">
      <c r="A17" s="59" t="s">
        <v>134</v>
      </c>
      <c r="B17" s="60"/>
      <c r="C17" s="60"/>
      <c r="D17" s="61">
        <f>D15+D16</f>
        <v>3155311.48</v>
      </c>
    </row>
    <row r="18" ht="14.25" customHeight="1"/>
    <row r="19" ht="14.25" customHeight="1">
      <c r="A19" s="55" t="s">
        <v>135</v>
      </c>
      <c r="B19" s="56"/>
      <c r="C19" s="56"/>
      <c r="D19" s="56"/>
    </row>
    <row r="20" ht="14.25" customHeight="1">
      <c r="A20" s="62" t="s">
        <v>136</v>
      </c>
      <c r="D20" s="63">
        <f>D7-D12</f>
        <v>221758883.5</v>
      </c>
    </row>
    <row r="21" ht="14.25" customHeight="1">
      <c r="A21" s="62" t="s">
        <v>137</v>
      </c>
      <c r="D21" s="63">
        <f>D7-D12-D17</f>
        <v>218603572</v>
      </c>
    </row>
    <row r="22" ht="14.25" customHeight="1">
      <c r="A22" s="62" t="s">
        <v>30</v>
      </c>
      <c r="D22" s="64">
        <f>IF((D12+D17)=0,"",(D7-D12-D17)/(D12+D17))</f>
        <v>7.857822056</v>
      </c>
    </row>
    <row r="23" ht="14.25" customHeight="1">
      <c r="A23" s="57" t="s">
        <v>138</v>
      </c>
      <c r="D23" s="65">
        <f>IF(D12=0,"",(D7-D12)/D12)</f>
        <v>8.99099417</v>
      </c>
    </row>
    <row r="24" ht="14.25" customHeight="1">
      <c r="A24" s="57" t="s">
        <v>139</v>
      </c>
      <c r="D24" s="66">
        <f>IF(D20&gt;0,D17/(D20/12),"")</f>
        <v>0.1707428228</v>
      </c>
    </row>
    <row r="25" ht="14.25" customHeight="1">
      <c r="A25" s="57" t="s">
        <v>103</v>
      </c>
      <c r="D25" s="67">
        <f>Inputs!$E$65</f>
        <v>323280</v>
      </c>
    </row>
    <row r="26" ht="14.25" customHeight="1">
      <c r="A26" s="57" t="s">
        <v>140</v>
      </c>
      <c r="D26" s="68">
        <f>Inputs!$B$65</f>
        <v>235</v>
      </c>
    </row>
    <row r="27" ht="14.25" customHeight="1"/>
    <row r="28" ht="14.25" customHeight="1">
      <c r="A28" s="55" t="s">
        <v>141</v>
      </c>
      <c r="B28" s="56"/>
      <c r="C28" s="56"/>
      <c r="D28" s="56"/>
      <c r="E28" s="56"/>
    </row>
    <row r="29" ht="14.25" customHeight="1">
      <c r="A29" s="69"/>
      <c r="B29" s="69" t="s">
        <v>142</v>
      </c>
      <c r="C29" s="69" t="s">
        <v>143</v>
      </c>
      <c r="D29" s="69" t="s">
        <v>144</v>
      </c>
      <c r="E29" s="69" t="s">
        <v>145</v>
      </c>
    </row>
    <row r="30" ht="14.25" customHeight="1">
      <c r="A30" s="70" t="s">
        <v>146</v>
      </c>
      <c r="B30" s="71">
        <f>-D17</f>
        <v>-3155311.48</v>
      </c>
      <c r="C30" s="71" t="s">
        <v>147</v>
      </c>
      <c r="D30" s="71" t="s">
        <v>147</v>
      </c>
      <c r="E30" s="71" t="s">
        <v>147</v>
      </c>
    </row>
    <row r="31" ht="14.25" customHeight="1">
      <c r="A31" s="70" t="s">
        <v>148</v>
      </c>
      <c r="B31" s="71" t="s">
        <v>147</v>
      </c>
      <c r="C31" s="71">
        <f>-D12</f>
        <v>-24664556.48</v>
      </c>
      <c r="D31" s="71">
        <f>-D12</f>
        <v>-24664556.48</v>
      </c>
      <c r="E31" s="71">
        <f>-D12</f>
        <v>-24664556.48</v>
      </c>
    </row>
    <row r="32" ht="14.25" customHeight="1">
      <c r="A32" s="70" t="s">
        <v>149</v>
      </c>
      <c r="B32" s="71" t="s">
        <v>147</v>
      </c>
      <c r="C32" s="71">
        <f>D7</f>
        <v>246423440</v>
      </c>
      <c r="D32" s="71">
        <f>D7</f>
        <v>246423440</v>
      </c>
      <c r="E32" s="71">
        <f>D7</f>
        <v>246423440</v>
      </c>
    </row>
    <row r="33" ht="14.25" customHeight="1">
      <c r="A33" s="72" t="s">
        <v>150</v>
      </c>
      <c r="B33" s="73">
        <f t="shared" ref="B33:E33" si="1">SUM(B30:B32)</f>
        <v>-3155311.48</v>
      </c>
      <c r="C33" s="73">
        <f t="shared" si="1"/>
        <v>221758883.5</v>
      </c>
      <c r="D33" s="73">
        <f t="shared" si="1"/>
        <v>221758883.5</v>
      </c>
      <c r="E33" s="73">
        <f t="shared" si="1"/>
        <v>221758883.5</v>
      </c>
    </row>
    <row r="34" ht="14.25" customHeight="1">
      <c r="A34" s="72" t="s">
        <v>151</v>
      </c>
      <c r="B34" s="73">
        <f>B33</f>
        <v>-3155311.48</v>
      </c>
      <c r="C34" s="73">
        <f t="shared" ref="C34:E34" si="2">B34+C33</f>
        <v>218603572</v>
      </c>
      <c r="D34" s="73">
        <f t="shared" si="2"/>
        <v>440362455.6</v>
      </c>
      <c r="E34" s="73">
        <f t="shared" si="2"/>
        <v>662121339.1</v>
      </c>
    </row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4.0"/>
    <col customWidth="1" min="2" max="2" width="22.0"/>
    <col customWidth="1" min="3" max="3" width="44.0"/>
    <col customWidth="1" min="4" max="26" width="8.71"/>
  </cols>
  <sheetData>
    <row r="1" ht="21.75" customHeight="1">
      <c r="A1" s="8" t="s">
        <v>152</v>
      </c>
      <c r="B1" s="9"/>
      <c r="C1" s="10"/>
    </row>
    <row r="2" ht="30.0" customHeight="1">
      <c r="A2" s="11" t="s">
        <v>153</v>
      </c>
    </row>
    <row r="3" ht="14.25" customHeight="1">
      <c r="A3" s="74" t="s">
        <v>154</v>
      </c>
      <c r="B3" s="9"/>
      <c r="C3" s="10"/>
    </row>
    <row r="4" ht="14.25" customHeight="1">
      <c r="A4" s="75" t="s">
        <v>155</v>
      </c>
      <c r="B4" s="76">
        <v>20.0</v>
      </c>
    </row>
    <row r="5" ht="14.25" customHeight="1">
      <c r="A5" s="75" t="s">
        <v>156</v>
      </c>
      <c r="B5" s="77">
        <v>1200.0</v>
      </c>
    </row>
    <row r="6" ht="14.25" customHeight="1">
      <c r="A6" s="75" t="s">
        <v>157</v>
      </c>
      <c r="B6" s="78">
        <v>5.0</v>
      </c>
    </row>
    <row r="7" ht="14.25" customHeight="1">
      <c r="A7" s="75" t="s">
        <v>158</v>
      </c>
      <c r="B7" s="76">
        <v>48.0</v>
      </c>
    </row>
    <row r="8" ht="14.25" customHeight="1">
      <c r="A8" s="74" t="s">
        <v>159</v>
      </c>
      <c r="B8" s="9"/>
      <c r="C8" s="10"/>
    </row>
    <row r="9" ht="14.25" customHeight="1">
      <c r="A9" s="75" t="s">
        <v>10</v>
      </c>
      <c r="B9" s="77">
        <v>1500000.0</v>
      </c>
    </row>
    <row r="10" ht="14.25" customHeight="1">
      <c r="A10" s="75" t="s">
        <v>12</v>
      </c>
      <c r="B10" s="77">
        <v>300000.0</v>
      </c>
    </row>
    <row r="11" ht="14.25" customHeight="1">
      <c r="A11" s="75" t="s">
        <v>14</v>
      </c>
      <c r="B11" s="77">
        <v>600000.0</v>
      </c>
    </row>
    <row r="12" ht="14.25" customHeight="1">
      <c r="A12" s="75" t="s">
        <v>16</v>
      </c>
      <c r="B12" s="77">
        <v>480000.0</v>
      </c>
    </row>
    <row r="13" ht="14.25" customHeight="1">
      <c r="A13" s="74" t="s">
        <v>160</v>
      </c>
      <c r="B13" s="9"/>
      <c r="C13" s="10"/>
    </row>
    <row r="14" ht="14.25" customHeight="1">
      <c r="A14" s="75" t="s">
        <v>161</v>
      </c>
      <c r="B14" s="77">
        <v>2000000.0</v>
      </c>
    </row>
    <row r="15" ht="14.25" customHeight="1">
      <c r="A15" s="75" t="s">
        <v>117</v>
      </c>
      <c r="B15" s="79">
        <v>0.4</v>
      </c>
    </row>
    <row r="16" ht="14.25" customHeight="1">
      <c r="A16" s="74" t="s">
        <v>162</v>
      </c>
      <c r="B16" s="9"/>
      <c r="C16" s="10"/>
    </row>
    <row r="17" ht="14.25" customHeight="1">
      <c r="A17" s="80" t="s">
        <v>163</v>
      </c>
      <c r="B17" s="81">
        <f>B4*B6*B7</f>
        <v>4800</v>
      </c>
    </row>
    <row r="18" ht="14.25" customHeight="1">
      <c r="A18" s="80" t="s">
        <v>164</v>
      </c>
      <c r="B18" s="82">
        <f>B17*B5</f>
        <v>5760000</v>
      </c>
    </row>
    <row r="19" ht="14.25" customHeight="1">
      <c r="A19" s="80" t="s">
        <v>165</v>
      </c>
      <c r="B19" s="82">
        <f>B14*B15</f>
        <v>800000</v>
      </c>
    </row>
    <row r="20" ht="14.25" customHeight="1">
      <c r="A20" s="80" t="s">
        <v>166</v>
      </c>
      <c r="B20" s="82">
        <f>B18+B19</f>
        <v>6560000</v>
      </c>
    </row>
    <row r="21" ht="14.25" customHeight="1">
      <c r="A21" s="80" t="s">
        <v>167</v>
      </c>
      <c r="B21" s="82">
        <f>B11+B12</f>
        <v>1080000</v>
      </c>
    </row>
    <row r="22" ht="14.25" customHeight="1">
      <c r="A22" s="80" t="s">
        <v>168</v>
      </c>
      <c r="B22" s="82">
        <f>B9+B10</f>
        <v>1800000</v>
      </c>
    </row>
    <row r="23" ht="14.25" customHeight="1">
      <c r="A23" s="80" t="s">
        <v>169</v>
      </c>
      <c r="B23" s="82">
        <f>B20-B21</f>
        <v>5480000</v>
      </c>
    </row>
    <row r="24" ht="14.25" customHeight="1">
      <c r="A24" s="80" t="s">
        <v>30</v>
      </c>
      <c r="B24" s="83">
        <f>(B20-B21-B22)/(B21+B22)</f>
        <v>1.277777778</v>
      </c>
    </row>
    <row r="25" ht="14.25" customHeight="1">
      <c r="A25" s="80" t="s">
        <v>32</v>
      </c>
      <c r="B25" s="84">
        <f>IF((B20-B21)&gt;0,B22/((B20-B21)/12),"")</f>
        <v>3.941605839</v>
      </c>
    </row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C1"/>
    <mergeCell ref="A2:C2"/>
    <mergeCell ref="A3:C3"/>
    <mergeCell ref="A8:C8"/>
    <mergeCell ref="A13:C13"/>
    <mergeCell ref="A16:C16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2026-05-29T09:45:45Z</dcterms:created>
  <dc:creator>openpyxl</dc:creator>
</cp:coreProperties>
</file>